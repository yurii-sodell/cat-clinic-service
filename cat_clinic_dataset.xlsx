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dG\YEAR2\Programming3\MyProjectCatClinic\"/>
    </mc:Choice>
  </mc:AlternateContent>
  <xr:revisionPtr revIDLastSave="0" documentId="13_ncr:1_{92889D71-289C-4D35-BBF2-B258EC446A3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t_owner" sheetId="2" r:id="rId1"/>
    <sheet name="cats" sheetId="3" r:id="rId2"/>
    <sheet name="medications_and_treats" sheetId="4" r:id="rId3"/>
    <sheet name="cat_medication" sheetId="5" r:id="rId4"/>
  </sheets>
  <definedNames>
    <definedName name="_xlnm._FilterDatabase" localSheetId="3" hidden="1">cat_medication!$A$1:$B$29</definedName>
    <definedName name="_xlnm._FilterDatabase" localSheetId="0" hidden="1">cat_owner!$A$1:$J$13</definedName>
    <definedName name="_xlnm._FilterDatabase" localSheetId="1" hidden="1">cats!$A$1:$I$19</definedName>
    <definedName name="_xlnm._FilterDatabase" localSheetId="2" hidden="1">medications_and_treats!$A$1:$I$13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4" l="1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H2" i="4"/>
  <c r="G2" i="4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<sst xmlns="http://schemas.openxmlformats.org/spreadsheetml/2006/main" count="283" uniqueCount="175">
  <si>
    <t>cat_owner_id</t>
  </si>
  <si>
    <t>living_space_square_meters</t>
  </si>
  <si>
    <t>amount_of_kids</t>
  </si>
  <si>
    <t>full_name</t>
  </si>
  <si>
    <t>phone_number</t>
  </si>
  <si>
    <t>registration_date</t>
  </si>
  <si>
    <t>smokes_at_home</t>
  </si>
  <si>
    <t>prefered_communication_language</t>
  </si>
  <si>
    <t>FAM-101</t>
  </si>
  <si>
    <t>Jan Peeters</t>
  </si>
  <si>
    <t>+32 470 11 22 33</t>
  </si>
  <si>
    <t>NL</t>
  </si>
  <si>
    <t>https://example.com/photos/owners/jan-peeters.jpg</t>
  </si>
  <si>
    <t>FAM-102</t>
  </si>
  <si>
    <t>Marie Dubois</t>
  </si>
  <si>
    <t>+32 471 22 33 44</t>
  </si>
  <si>
    <t>FR</t>
  </si>
  <si>
    <t>https://example.com/photos/owners/marie-dubois.jpg</t>
  </si>
  <si>
    <t>FAM-103</t>
  </si>
  <si>
    <t>Klaus Schneider</t>
  </si>
  <si>
    <t>+32 472 33 44 55</t>
  </si>
  <si>
    <t>DE</t>
  </si>
  <si>
    <t>https://example.com/photos/owners/klaus-schneider.jpg</t>
  </si>
  <si>
    <t>FAM-104</t>
  </si>
  <si>
    <t>Emma Wilson</t>
  </si>
  <si>
    <t>+32 473 44 55 66</t>
  </si>
  <si>
    <t>EN</t>
  </si>
  <si>
    <t>https://example.com/photos/owners/emma-wilson.jpg</t>
  </si>
  <si>
    <t>FAM-105</t>
  </si>
  <si>
    <t>Sofie Janssens</t>
  </si>
  <si>
    <t>+32 474 55 66 77</t>
  </si>
  <si>
    <t>https://example.com/photos/owners/sofie-janssens.jpg</t>
  </si>
  <si>
    <t>FAM-106</t>
  </si>
  <si>
    <t>Ahmed El Idrissi</t>
  </si>
  <si>
    <t>+32 475 66 77 88</t>
  </si>
  <si>
    <t>OTHER</t>
  </si>
  <si>
    <t>https://example.com/photos/owners/ahmed-el-idrissi.jpg</t>
  </si>
  <si>
    <t>FAM-107</t>
  </si>
  <si>
    <t>Lucas Martens</t>
  </si>
  <si>
    <t>+32 476 77 88 99</t>
  </si>
  <si>
    <t>https://example.com/photos/owners/lucas-martens.jpg</t>
  </si>
  <si>
    <t>FAM-108</t>
  </si>
  <si>
    <t>Camille Laurent</t>
  </si>
  <si>
    <t>+32 477 88 99 00</t>
  </si>
  <si>
    <t>https://example.com/photos/owners/camille-laurent.jpg</t>
  </si>
  <si>
    <t>FAM-109</t>
  </si>
  <si>
    <t>Anna Kowalski</t>
  </si>
  <si>
    <t>+32 478 99 00 11</t>
  </si>
  <si>
    <t>https://example.com/photos/owners/anna-kowalski.jpg</t>
  </si>
  <si>
    <t>FAM-110</t>
  </si>
  <si>
    <t>Thomas Vermeulen</t>
  </si>
  <si>
    <t>+32 479 00 11 22</t>
  </si>
  <si>
    <t>https://example.com/photos/owners/thomas-vermeulen.jpg</t>
  </si>
  <si>
    <t>FAM-111</t>
  </si>
  <si>
    <t>Greta Vogel</t>
  </si>
  <si>
    <t>+32 480 11 22 33</t>
  </si>
  <si>
    <t>https://example.com/photos/owners/greta-vogel.jpg</t>
  </si>
  <si>
    <t>FAM-112</t>
  </si>
  <si>
    <t>Liam O'Connor</t>
  </si>
  <si>
    <t>+32 481 22 33 44</t>
  </si>
  <si>
    <t>https://example.com/photos/owners/liam-oconnor.jpg</t>
  </si>
  <si>
    <t>cat_id</t>
  </si>
  <si>
    <t>weight</t>
  </si>
  <si>
    <t>name</t>
  </si>
  <si>
    <t>visits</t>
  </si>
  <si>
    <t>date_of_birth</t>
  </si>
  <si>
    <t>gender</t>
  </si>
  <si>
    <t>is_hospitalized</t>
  </si>
  <si>
    <t>photo</t>
  </si>
  <si>
    <t>belonging_family_id</t>
  </si>
  <si>
    <t>CAT-001</t>
  </si>
  <si>
    <t>Whiskers</t>
  </si>
  <si>
    <t>FEMALE</t>
  </si>
  <si>
    <t>https://example.com/photos/cats/whiskers.jpg</t>
  </si>
  <si>
    <t>CAT-002</t>
  </si>
  <si>
    <t>Simba</t>
  </si>
  <si>
    <t>MALE</t>
  </si>
  <si>
    <t>https://example.com/photos/cats/simba.jpg</t>
  </si>
  <si>
    <t>CAT-003</t>
  </si>
  <si>
    <t>Luna</t>
  </si>
  <si>
    <t>https://example.com/photos/cats/luna.jpg</t>
  </si>
  <si>
    <t>CAT-004</t>
  </si>
  <si>
    <t>AsteroidDestroyer</t>
  </si>
  <si>
    <t>https://example.com/photos/cats/asteroid-destroyer.jpg</t>
  </si>
  <si>
    <t>CAT-005</t>
  </si>
  <si>
    <t>MrPaw</t>
  </si>
  <si>
    <t>https://example.com/photos/cats/mr-paw.jpg</t>
  </si>
  <si>
    <t>CAT-006</t>
  </si>
  <si>
    <t>Minou</t>
  </si>
  <si>
    <t>https://example.com/photos/cats/minou.jpg</t>
  </si>
  <si>
    <t>CAT-007</t>
  </si>
  <si>
    <t>Kaiser</t>
  </si>
  <si>
    <t>https://example.com/photos/cats/kaiser.jpg</t>
  </si>
  <si>
    <t>CAT-008</t>
  </si>
  <si>
    <t>Bella</t>
  </si>
  <si>
    <t>https://example.com/photos/cats/bella.jpg</t>
  </si>
  <si>
    <t>CAT-009</t>
  </si>
  <si>
    <t>Oliver</t>
  </si>
  <si>
    <t>https://example.com/photos/cats/oliver.jpg</t>
  </si>
  <si>
    <t>CAT-010</t>
  </si>
  <si>
    <t>Nala</t>
  </si>
  <si>
    <t>https://example.com/photos/cats/nala.jpg</t>
  </si>
  <si>
    <t>CAT-011</t>
  </si>
  <si>
    <t>Felix</t>
  </si>
  <si>
    <t>https://example.com/photos/cats/felix.jpg</t>
  </si>
  <si>
    <t>CAT-012</t>
  </si>
  <si>
    <t>Pasha</t>
  </si>
  <si>
    <t>https://example.com/photos/cats/pasha.jpg</t>
  </si>
  <si>
    <t>CAT-013</t>
  </si>
  <si>
    <t>Milo</t>
  </si>
  <si>
    <t>https://example.com/photos/cats/milo.jpg</t>
  </si>
  <si>
    <t>CAT-014</t>
  </si>
  <si>
    <t>Cleo</t>
  </si>
  <si>
    <t>https://example.com/photos/cats/cleo.jpg</t>
  </si>
  <si>
    <t>CAT-015</t>
  </si>
  <si>
    <t>Mimi</t>
  </si>
  <si>
    <t>https://example.com/photos/cats/mimi.jpg</t>
  </si>
  <si>
    <t>CAT-016</t>
  </si>
  <si>
    <t>Garfield</t>
  </si>
  <si>
    <t>https://example.com/photos/cats/garfield.jpg</t>
  </si>
  <si>
    <t>CAT-017</t>
  </si>
  <si>
    <t>Tigger</t>
  </si>
  <si>
    <t>https://example.com/photos/cats/tigger.jpg</t>
  </si>
  <si>
    <t>CAT-018</t>
  </si>
  <si>
    <t>Shadow</t>
  </si>
  <si>
    <t>https://example.com/photos/cats/shadow.jpg</t>
  </si>
  <si>
    <t>product_id</t>
  </si>
  <si>
    <t>price</t>
  </si>
  <si>
    <t>title</t>
  </si>
  <si>
    <t>weeks_after_birth_to_start_medication</t>
  </si>
  <si>
    <t>market_release_date</t>
  </si>
  <si>
    <t>medication_type</t>
  </si>
  <si>
    <t>is_prescription_needed</t>
  </si>
  <si>
    <t>can_be_gifted_on_cats_birthday</t>
  </si>
  <si>
    <t>MED-001</t>
  </si>
  <si>
    <t>Amoxicillin 50mg</t>
  </si>
  <si>
    <t>PILLS</t>
  </si>
  <si>
    <t>https://example.com/photos/medications/amoxicillin.jpg</t>
  </si>
  <si>
    <t>MED-002</t>
  </si>
  <si>
    <t>Frontline Plus</t>
  </si>
  <si>
    <t>DROPS</t>
  </si>
  <si>
    <t>https://example.com/photos/medications/frontline-plus.jpg</t>
  </si>
  <si>
    <t>MED-003</t>
  </si>
  <si>
    <t>Metacam Oral Suspension</t>
  </si>
  <si>
    <t>https://example.com/photos/medications/metacam.jpg</t>
  </si>
  <si>
    <t>MED-004</t>
  </si>
  <si>
    <t>Revolution Spot-On</t>
  </si>
  <si>
    <t>https://example.com/photos/medications/revolution.jpg</t>
  </si>
  <si>
    <t>MED-005</t>
  </si>
  <si>
    <t>Drontal Cat Dewormer</t>
  </si>
  <si>
    <t>https://example.com/photos/medications/drontal.jpg</t>
  </si>
  <si>
    <t>MED-006</t>
  </si>
  <si>
    <t>Terramycin Eye Ointment</t>
  </si>
  <si>
    <t>OINTMENT</t>
  </si>
  <si>
    <t>https://example.com/photos/medications/terramycin.jpg</t>
  </si>
  <si>
    <t>MED-007</t>
  </si>
  <si>
    <t>Dermazol Skin Ointment</t>
  </si>
  <si>
    <t>https://example.com/photos/medications/dermazol.jpg</t>
  </si>
  <si>
    <t>MED-008</t>
  </si>
  <si>
    <t>Vitamin Cat Treats</t>
  </si>
  <si>
    <t>TREAT</t>
  </si>
  <si>
    <t>https://example.com/photos/medications/vitamin-treats.jpg</t>
  </si>
  <si>
    <t>MED-009</t>
  </si>
  <si>
    <t>Tuna Birthday Treats</t>
  </si>
  <si>
    <t>https://example.com/photos/medications/tuna-birthday-treats.jpg</t>
  </si>
  <si>
    <t>MED-010</t>
  </si>
  <si>
    <t>Dental Care Chews</t>
  </si>
  <si>
    <t>https://example.com/photos/medications/dental-chews.jpg</t>
  </si>
  <si>
    <t>MED-011</t>
  </si>
  <si>
    <t>Salmon Crunchies</t>
  </si>
  <si>
    <t>https://example.com/photos/medications/salmon-crunchies.jpg</t>
  </si>
  <si>
    <t>MED-012</t>
  </si>
  <si>
    <t>Otodex Ear Drops</t>
  </si>
  <si>
    <t>https://example.com/photos/medications/otodex.jpg</t>
  </si>
  <si>
    <t>photo_of_owners_id_card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</si>
</sst>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2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zoomScaleNormal="100" workbookViewId="0">
      <pane ySplit="1" topLeftCell="A2" activePane="bottomLeft" state="frozen"/>
      <selection pane="bottomLeft" activeCell="D22" sqref="D22"/>
    </sheetView>
  </sheetViews>
  <sheetFormatPr defaultColWidth="8.6640625" defaultRowHeight="14.4" x14ac:dyDescent="0.3"/>
  <cols>
    <col min="1" max="1" width="15" customWidth="1"/>
    <col min="2" max="2" width="29" customWidth="1"/>
    <col min="3" max="3" width="17" customWidth="1"/>
    <col min="4" max="5" width="19" customWidth="1"/>
    <col min="6" max="6" width="20" customWidth="1"/>
    <col min="7" max="7" width="17" customWidth="1"/>
    <col min="8" max="8" width="34" customWidth="1"/>
    <col min="9" max="9" width="48" customWidth="1"/>
    <col min="10" max="10" width="9.6640625" customWidth="1"/>
  </cols>
  <sheetData>
    <row r="1" spans="1:10" ht="31.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174</v>
      </c>
      <c r="J1" s="5"/>
    </row>
    <row r="2" spans="1:10" x14ac:dyDescent="0.3">
      <c r="A2" s="1" t="s">
        <v>8</v>
      </c>
      <c r="B2" s="2">
        <v>85.5</v>
      </c>
      <c r="C2" s="1">
        <v>2</v>
      </c>
      <c r="D2" s="1" t="s">
        <v>9</v>
      </c>
      <c r="E2" s="1" t="s">
        <v>10</v>
      </c>
      <c r="F2" s="3">
        <v>43567</v>
      </c>
      <c r="G2" s="1" t="b">
        <f>FALSE()</f>
        <v>0</v>
      </c>
      <c r="H2" s="1" t="s">
        <v>11</v>
      </c>
      <c r="I2" s="1" t="s">
        <v>12</v>
      </c>
      <c r="J2" s="1"/>
    </row>
    <row r="3" spans="1:10" x14ac:dyDescent="0.3">
      <c r="A3" s="1" t="s">
        <v>13</v>
      </c>
      <c r="B3" s="2">
        <v>62</v>
      </c>
      <c r="C3" s="1">
        <v>0</v>
      </c>
      <c r="D3" s="1" t="s">
        <v>14</v>
      </c>
      <c r="E3" s="1" t="s">
        <v>15</v>
      </c>
      <c r="F3" s="3">
        <v>44442</v>
      </c>
      <c r="G3" s="1" t="b">
        <f>FALSE()</f>
        <v>0</v>
      </c>
      <c r="H3" s="1" t="s">
        <v>16</v>
      </c>
      <c r="I3" s="1" t="s">
        <v>17</v>
      </c>
      <c r="J3" s="1"/>
    </row>
    <row r="4" spans="1:10" x14ac:dyDescent="0.3">
      <c r="A4" s="1" t="s">
        <v>18</v>
      </c>
      <c r="B4" s="2">
        <v>120</v>
      </c>
      <c r="C4" s="1">
        <v>3</v>
      </c>
      <c r="D4" s="1" t="s">
        <v>19</v>
      </c>
      <c r="E4" s="1" t="s">
        <v>20</v>
      </c>
      <c r="F4" s="3">
        <v>43120</v>
      </c>
      <c r="G4" s="1" t="b">
        <f>TRUE()</f>
        <v>1</v>
      </c>
      <c r="H4" s="1" t="s">
        <v>21</v>
      </c>
      <c r="I4" s="1" t="s">
        <v>22</v>
      </c>
      <c r="J4" s="1"/>
    </row>
    <row r="5" spans="1:10" x14ac:dyDescent="0.3">
      <c r="A5" s="1" t="s">
        <v>23</v>
      </c>
      <c r="B5" s="2">
        <v>48.5</v>
      </c>
      <c r="C5" s="1">
        <v>0</v>
      </c>
      <c r="D5" s="1" t="s">
        <v>24</v>
      </c>
      <c r="E5" s="1" t="s">
        <v>25</v>
      </c>
      <c r="F5" s="3">
        <v>45092</v>
      </c>
      <c r="G5" s="1" t="b">
        <f>FALSE()</f>
        <v>0</v>
      </c>
      <c r="H5" s="1" t="s">
        <v>26</v>
      </c>
      <c r="I5" s="1" t="s">
        <v>27</v>
      </c>
      <c r="J5" s="1"/>
    </row>
    <row r="6" spans="1:10" x14ac:dyDescent="0.3">
      <c r="A6" s="1" t="s">
        <v>28</v>
      </c>
      <c r="B6" s="2">
        <v>95</v>
      </c>
      <c r="C6" s="1">
        <v>1</v>
      </c>
      <c r="D6" s="1" t="s">
        <v>29</v>
      </c>
      <c r="E6" s="1" t="s">
        <v>30</v>
      </c>
      <c r="F6" s="3">
        <v>44620</v>
      </c>
      <c r="G6" s="1" t="b">
        <f>FALSE()</f>
        <v>0</v>
      </c>
      <c r="H6" s="1" t="s">
        <v>11</v>
      </c>
      <c r="I6" s="1" t="s">
        <v>31</v>
      </c>
      <c r="J6" s="1"/>
    </row>
    <row r="7" spans="1:10" x14ac:dyDescent="0.3">
      <c r="A7" s="1" t="s">
        <v>32</v>
      </c>
      <c r="B7" s="2">
        <v>70</v>
      </c>
      <c r="C7" s="1">
        <v>4</v>
      </c>
      <c r="D7" s="1" t="s">
        <v>33</v>
      </c>
      <c r="E7" s="1" t="s">
        <v>34</v>
      </c>
      <c r="F7" s="3">
        <v>45605</v>
      </c>
      <c r="G7" s="1" t="b">
        <f>TRUE()</f>
        <v>1</v>
      </c>
      <c r="H7" s="1" t="s">
        <v>35</v>
      </c>
      <c r="I7" s="1" t="s">
        <v>36</v>
      </c>
      <c r="J7" s="1"/>
    </row>
    <row r="8" spans="1:10" x14ac:dyDescent="0.3">
      <c r="A8" s="1" t="s">
        <v>37</v>
      </c>
      <c r="B8" s="2">
        <v>55</v>
      </c>
      <c r="C8" s="1">
        <v>0</v>
      </c>
      <c r="D8" s="1" t="s">
        <v>38</v>
      </c>
      <c r="E8" s="1" t="s">
        <v>39</v>
      </c>
      <c r="F8" s="3">
        <v>43968</v>
      </c>
      <c r="G8" s="1" t="b">
        <f>FALSE()</f>
        <v>0</v>
      </c>
      <c r="H8" s="1" t="s">
        <v>11</v>
      </c>
      <c r="I8" s="1" t="s">
        <v>40</v>
      </c>
      <c r="J8" s="1"/>
    </row>
    <row r="9" spans="1:10" x14ac:dyDescent="0.3">
      <c r="A9" s="1" t="s">
        <v>41</v>
      </c>
      <c r="B9" s="2">
        <v>78</v>
      </c>
      <c r="C9" s="1">
        <v>2</v>
      </c>
      <c r="D9" s="1" t="s">
        <v>42</v>
      </c>
      <c r="E9" s="1" t="s">
        <v>43</v>
      </c>
      <c r="F9" s="3">
        <v>44835</v>
      </c>
      <c r="G9" s="1" t="b">
        <f>FALSE()</f>
        <v>0</v>
      </c>
      <c r="H9" s="1" t="s">
        <v>16</v>
      </c>
      <c r="I9" s="1" t="s">
        <v>44</v>
      </c>
      <c r="J9" s="1"/>
    </row>
    <row r="10" spans="1:10" x14ac:dyDescent="0.3">
      <c r="A10" s="1" t="s">
        <v>45</v>
      </c>
      <c r="B10" s="2">
        <v>40</v>
      </c>
      <c r="C10" s="1">
        <v>0</v>
      </c>
      <c r="D10" s="1" t="s">
        <v>46</v>
      </c>
      <c r="E10" s="1" t="s">
        <v>47</v>
      </c>
      <c r="F10" s="3">
        <v>45738</v>
      </c>
      <c r="G10" s="1" t="b">
        <f>FALSE()</f>
        <v>0</v>
      </c>
      <c r="H10" s="1" t="s">
        <v>35</v>
      </c>
      <c r="I10" s="1" t="s">
        <v>48</v>
      </c>
      <c r="J10" s="1"/>
    </row>
    <row r="11" spans="1:10" x14ac:dyDescent="0.3">
      <c r="A11" s="1" t="s">
        <v>49</v>
      </c>
      <c r="B11" s="2">
        <v>150</v>
      </c>
      <c r="C11" s="1">
        <v>5</v>
      </c>
      <c r="D11" s="1" t="s">
        <v>50</v>
      </c>
      <c r="E11" s="1" t="s">
        <v>51</v>
      </c>
      <c r="F11" s="3">
        <v>42955</v>
      </c>
      <c r="G11" s="1" t="b">
        <f>TRUE()</f>
        <v>1</v>
      </c>
      <c r="H11" s="1" t="s">
        <v>11</v>
      </c>
      <c r="I11" s="1" t="s">
        <v>52</v>
      </c>
      <c r="J11" s="1"/>
    </row>
    <row r="12" spans="1:10" x14ac:dyDescent="0.3">
      <c r="A12" s="1" t="s">
        <v>53</v>
      </c>
      <c r="B12" s="2">
        <v>66.5</v>
      </c>
      <c r="C12" s="1">
        <v>1</v>
      </c>
      <c r="D12" s="1" t="s">
        <v>54</v>
      </c>
      <c r="E12" s="1" t="s">
        <v>55</v>
      </c>
      <c r="F12" s="3">
        <v>45992</v>
      </c>
      <c r="G12" s="1" t="b">
        <f>FALSE()</f>
        <v>0</v>
      </c>
      <c r="H12" s="1" t="s">
        <v>21</v>
      </c>
      <c r="I12" s="1" t="s">
        <v>56</v>
      </c>
      <c r="J12" s="1"/>
    </row>
    <row r="13" spans="1:10" x14ac:dyDescent="0.3">
      <c r="A13" s="1" t="s">
        <v>57</v>
      </c>
      <c r="B13" s="2">
        <v>52</v>
      </c>
      <c r="C13" s="1">
        <v>0</v>
      </c>
      <c r="D13" s="1" t="s">
        <v>58</v>
      </c>
      <c r="E13" s="1" t="s">
        <v>59</v>
      </c>
      <c r="F13" s="3">
        <v>46254</v>
      </c>
      <c r="G13" s="1" t="b">
        <f>FALSE()</f>
        <v>0</v>
      </c>
      <c r="H13" s="1" t="s">
        <v>26</v>
      </c>
      <c r="I13" s="1" t="s">
        <v>60</v>
      </c>
      <c r="J13" s="1"/>
    </row>
  </sheetData>
  <autoFilter ref="A1:J13" xr:uid="{00000000-0009-0000-0000-000001000000}"/>
  <dataValidations count="1">
    <dataValidation type="list" sqref="H2:H13" xr:uid="{00000000-0002-0000-0100-000000000000}">
      <formula1>"NL,FR,DE,EN,OTHER"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zoomScaleNormal="100" workbookViewId="0">
      <pane ySplit="1" topLeftCell="A2" activePane="bottomLeft" state="frozen"/>
      <selection pane="bottomLeft" activeCell="I1" sqref="A1:I1"/>
    </sheetView>
  </sheetViews>
  <sheetFormatPr defaultColWidth="8.6640625" defaultRowHeight="14.4" x14ac:dyDescent="0.3"/>
  <cols>
    <col min="1" max="2" width="10" customWidth="1"/>
    <col min="3" max="3" width="20" customWidth="1"/>
    <col min="4" max="4" width="10" customWidth="1"/>
    <col min="5" max="5" width="16" customWidth="1"/>
    <col min="6" max="6" width="10" customWidth="1"/>
    <col min="7" max="7" width="18" customWidth="1"/>
    <col min="8" max="8" width="48" customWidth="1"/>
    <col min="9" max="9" width="22" customWidth="1"/>
  </cols>
  <sheetData>
    <row r="1" spans="1:9" ht="31.5" customHeight="1" x14ac:dyDescent="0.3">
      <c r="A1" s="6" t="s">
        <v>61</v>
      </c>
      <c r="B1" s="6" t="s">
        <v>62</v>
      </c>
      <c r="C1" s="6" t="s">
        <v>63</v>
      </c>
      <c r="D1" s="6" t="s">
        <v>64</v>
      </c>
      <c r="E1" s="6" t="s">
        <v>65</v>
      </c>
      <c r="F1" s="6" t="s">
        <v>66</v>
      </c>
      <c r="G1" s="6" t="s">
        <v>67</v>
      </c>
      <c r="H1" s="6" t="s">
        <v>68</v>
      </c>
      <c r="I1" s="6" t="s">
        <v>69</v>
      </c>
    </row>
    <row r="2" spans="1:9" x14ac:dyDescent="0.3">
      <c r="A2" s="1" t="s">
        <v>70</v>
      </c>
      <c r="B2" s="2">
        <v>4.2</v>
      </c>
      <c r="C2" s="1" t="s">
        <v>71</v>
      </c>
      <c r="D2" s="1">
        <v>3</v>
      </c>
      <c r="E2" s="3">
        <v>43904</v>
      </c>
      <c r="F2" s="1" t="s">
        <v>72</v>
      </c>
      <c r="G2" s="1" t="b">
        <f>FALSE()</f>
        <v>0</v>
      </c>
      <c r="H2" s="1" t="s">
        <v>73</v>
      </c>
      <c r="I2" s="1" t="s">
        <v>8</v>
      </c>
    </row>
    <row r="3" spans="1:9" x14ac:dyDescent="0.3">
      <c r="A3" s="1" t="s">
        <v>74</v>
      </c>
      <c r="B3" s="2">
        <v>5.8</v>
      </c>
      <c r="C3" s="1" t="s">
        <v>75</v>
      </c>
      <c r="D3" s="1">
        <v>7</v>
      </c>
      <c r="E3" s="3">
        <v>43668</v>
      </c>
      <c r="F3" s="1" t="s">
        <v>76</v>
      </c>
      <c r="G3" s="1" t="b">
        <f>TRUE()</f>
        <v>1</v>
      </c>
      <c r="H3" s="1" t="s">
        <v>77</v>
      </c>
      <c r="I3" s="1" t="s">
        <v>8</v>
      </c>
    </row>
    <row r="4" spans="1:9" x14ac:dyDescent="0.3">
      <c r="A4" s="1" t="s">
        <v>78</v>
      </c>
      <c r="B4" s="2">
        <v>3.9</v>
      </c>
      <c r="C4" s="1" t="s">
        <v>79</v>
      </c>
      <c r="D4" s="1">
        <v>1</v>
      </c>
      <c r="E4" s="3">
        <v>44201</v>
      </c>
      <c r="F4" s="1" t="s">
        <v>72</v>
      </c>
      <c r="G4" s="1" t="b">
        <f>FALSE()</f>
        <v>0</v>
      </c>
      <c r="H4" s="1" t="s">
        <v>80</v>
      </c>
      <c r="I4" s="1" t="s">
        <v>8</v>
      </c>
    </row>
    <row r="5" spans="1:9" x14ac:dyDescent="0.3">
      <c r="A5" s="1" t="s">
        <v>81</v>
      </c>
      <c r="B5" s="2">
        <v>6.4</v>
      </c>
      <c r="C5" s="1" t="s">
        <v>82</v>
      </c>
      <c r="D5" s="1">
        <v>12</v>
      </c>
      <c r="E5" s="3">
        <v>43434</v>
      </c>
      <c r="F5" s="1" t="s">
        <v>76</v>
      </c>
      <c r="G5" s="1" t="b">
        <f>FALSE()</f>
        <v>0</v>
      </c>
      <c r="H5" s="1" t="s">
        <v>83</v>
      </c>
      <c r="I5" s="1" t="s">
        <v>13</v>
      </c>
    </row>
    <row r="6" spans="1:9" x14ac:dyDescent="0.3">
      <c r="A6" s="1" t="s">
        <v>84</v>
      </c>
      <c r="B6" s="2">
        <v>5.0999999999999996</v>
      </c>
      <c r="C6" s="1" t="s">
        <v>85</v>
      </c>
      <c r="D6" s="1">
        <v>2</v>
      </c>
      <c r="E6" s="3">
        <v>44699</v>
      </c>
      <c r="F6" s="1" t="s">
        <v>76</v>
      </c>
      <c r="G6" s="1" t="b">
        <f>TRUE()</f>
        <v>1</v>
      </c>
      <c r="H6" s="1" t="s">
        <v>86</v>
      </c>
      <c r="I6" s="1" t="s">
        <v>13</v>
      </c>
    </row>
    <row r="7" spans="1:9" x14ac:dyDescent="0.3">
      <c r="A7" s="1" t="s">
        <v>87</v>
      </c>
      <c r="B7" s="2">
        <v>3.4</v>
      </c>
      <c r="C7" s="1" t="s">
        <v>88</v>
      </c>
      <c r="D7" s="1">
        <v>0</v>
      </c>
      <c r="E7" s="3">
        <v>45193</v>
      </c>
      <c r="F7" s="1" t="s">
        <v>72</v>
      </c>
      <c r="G7" s="1" t="b">
        <f>FALSE()</f>
        <v>0</v>
      </c>
      <c r="H7" s="1" t="s">
        <v>89</v>
      </c>
      <c r="I7" s="1" t="s">
        <v>18</v>
      </c>
    </row>
    <row r="8" spans="1:9" x14ac:dyDescent="0.3">
      <c r="A8" s="1" t="s">
        <v>90</v>
      </c>
      <c r="B8" s="2">
        <v>7.3</v>
      </c>
      <c r="C8" s="1" t="s">
        <v>91</v>
      </c>
      <c r="D8" s="1">
        <v>21</v>
      </c>
      <c r="E8" s="3">
        <v>42777</v>
      </c>
      <c r="F8" s="1" t="s">
        <v>76</v>
      </c>
      <c r="G8" s="1" t="b">
        <f>FALSE()</f>
        <v>0</v>
      </c>
      <c r="H8" s="1" t="s">
        <v>92</v>
      </c>
      <c r="I8" s="1" t="s">
        <v>18</v>
      </c>
    </row>
    <row r="9" spans="1:9" x14ac:dyDescent="0.3">
      <c r="A9" s="1" t="s">
        <v>93</v>
      </c>
      <c r="B9" s="2">
        <v>3.1</v>
      </c>
      <c r="C9" s="1" t="s">
        <v>94</v>
      </c>
      <c r="D9" s="1">
        <v>4</v>
      </c>
      <c r="E9" s="3">
        <v>45381</v>
      </c>
      <c r="F9" s="1" t="s">
        <v>72</v>
      </c>
      <c r="G9" s="1" t="b">
        <f>FALSE()</f>
        <v>0</v>
      </c>
      <c r="H9" s="1" t="s">
        <v>95</v>
      </c>
      <c r="I9" s="1" t="s">
        <v>23</v>
      </c>
    </row>
    <row r="10" spans="1:9" x14ac:dyDescent="0.3">
      <c r="A10" s="1" t="s">
        <v>96</v>
      </c>
      <c r="B10" s="2">
        <v>1.2</v>
      </c>
      <c r="C10" s="1" t="s">
        <v>97</v>
      </c>
      <c r="D10" s="1">
        <v>2</v>
      </c>
      <c r="E10" s="3">
        <v>46183</v>
      </c>
      <c r="F10" s="1" t="s">
        <v>76</v>
      </c>
      <c r="G10" s="1" t="b">
        <f>TRUE()</f>
        <v>1</v>
      </c>
      <c r="H10" s="1" t="s">
        <v>98</v>
      </c>
      <c r="I10" s="1" t="s">
        <v>23</v>
      </c>
    </row>
    <row r="11" spans="1:9" x14ac:dyDescent="0.3">
      <c r="A11" s="1" t="s">
        <v>99</v>
      </c>
      <c r="B11" s="2">
        <v>4.5999999999999996</v>
      </c>
      <c r="C11" s="1" t="s">
        <v>100</v>
      </c>
      <c r="D11" s="1">
        <v>34</v>
      </c>
      <c r="E11" s="3">
        <v>42662</v>
      </c>
      <c r="F11" s="1" t="s">
        <v>72</v>
      </c>
      <c r="G11" s="1" t="b">
        <f>FALSE()</f>
        <v>0</v>
      </c>
      <c r="H11" s="1" t="s">
        <v>101</v>
      </c>
      <c r="I11" s="1" t="s">
        <v>28</v>
      </c>
    </row>
    <row r="12" spans="1:9" x14ac:dyDescent="0.3">
      <c r="A12" s="1" t="s">
        <v>102</v>
      </c>
      <c r="B12" s="2">
        <v>5.5</v>
      </c>
      <c r="C12" s="1" t="s">
        <v>103</v>
      </c>
      <c r="D12" s="1">
        <v>9</v>
      </c>
      <c r="E12" s="3">
        <v>44189</v>
      </c>
      <c r="F12" s="1" t="s">
        <v>76</v>
      </c>
      <c r="G12" s="1" t="b">
        <f>FALSE()</f>
        <v>0</v>
      </c>
      <c r="H12" s="1" t="s">
        <v>104</v>
      </c>
      <c r="I12" s="1" t="s">
        <v>28</v>
      </c>
    </row>
    <row r="13" spans="1:9" x14ac:dyDescent="0.3">
      <c r="A13" s="1" t="s">
        <v>105</v>
      </c>
      <c r="B13" s="2">
        <v>4.8</v>
      </c>
      <c r="C13" s="1" t="s">
        <v>106</v>
      </c>
      <c r="D13" s="1">
        <v>6</v>
      </c>
      <c r="E13" s="3">
        <v>44775</v>
      </c>
      <c r="F13" s="1" t="s">
        <v>76</v>
      </c>
      <c r="G13" s="1" t="b">
        <f>FALSE()</f>
        <v>0</v>
      </c>
      <c r="H13" s="1" t="s">
        <v>107</v>
      </c>
      <c r="I13" s="1" t="s">
        <v>32</v>
      </c>
    </row>
    <row r="14" spans="1:9" x14ac:dyDescent="0.3">
      <c r="A14" s="1" t="s">
        <v>108</v>
      </c>
      <c r="B14" s="2">
        <v>5</v>
      </c>
      <c r="C14" s="1" t="s">
        <v>109</v>
      </c>
      <c r="D14" s="1">
        <v>5</v>
      </c>
      <c r="E14" s="3">
        <v>44377</v>
      </c>
      <c r="F14" s="1" t="s">
        <v>76</v>
      </c>
      <c r="G14" s="1" t="b">
        <f>FALSE()</f>
        <v>0</v>
      </c>
      <c r="H14" s="1" t="s">
        <v>110</v>
      </c>
      <c r="I14" s="1" t="s">
        <v>37</v>
      </c>
    </row>
    <row r="15" spans="1:9" x14ac:dyDescent="0.3">
      <c r="A15" s="1" t="s">
        <v>111</v>
      </c>
      <c r="B15" s="2">
        <v>3.7</v>
      </c>
      <c r="C15" s="1" t="s">
        <v>112</v>
      </c>
      <c r="D15" s="1">
        <v>15</v>
      </c>
      <c r="E15" s="3">
        <v>43784</v>
      </c>
      <c r="F15" s="1" t="s">
        <v>72</v>
      </c>
      <c r="G15" s="1" t="b">
        <f>TRUE()</f>
        <v>1</v>
      </c>
      <c r="H15" s="1" t="s">
        <v>113</v>
      </c>
      <c r="I15" s="1" t="s">
        <v>41</v>
      </c>
    </row>
    <row r="16" spans="1:9" x14ac:dyDescent="0.3">
      <c r="A16" s="1" t="s">
        <v>114</v>
      </c>
      <c r="B16" s="2">
        <v>3</v>
      </c>
      <c r="C16" s="1" t="s">
        <v>115</v>
      </c>
      <c r="D16" s="1">
        <v>3</v>
      </c>
      <c r="E16" s="3">
        <v>45702</v>
      </c>
      <c r="F16" s="1" t="s">
        <v>72</v>
      </c>
      <c r="G16" s="1" t="b">
        <f>FALSE()</f>
        <v>0</v>
      </c>
      <c r="H16" s="1" t="s">
        <v>116</v>
      </c>
      <c r="I16" s="1" t="s">
        <v>45</v>
      </c>
    </row>
    <row r="17" spans="1:9" x14ac:dyDescent="0.3">
      <c r="A17" s="1" t="s">
        <v>117</v>
      </c>
      <c r="B17" s="2">
        <v>8.9</v>
      </c>
      <c r="C17" s="1" t="s">
        <v>118</v>
      </c>
      <c r="D17" s="1">
        <v>28</v>
      </c>
      <c r="E17" s="3">
        <v>42023</v>
      </c>
      <c r="F17" s="1" t="s">
        <v>76</v>
      </c>
      <c r="G17" s="1" t="b">
        <f>FALSE()</f>
        <v>0</v>
      </c>
      <c r="H17" s="1" t="s">
        <v>119</v>
      </c>
      <c r="I17" s="1" t="s">
        <v>49</v>
      </c>
    </row>
    <row r="18" spans="1:9" x14ac:dyDescent="0.3">
      <c r="A18" s="1" t="s">
        <v>120</v>
      </c>
      <c r="B18" s="2">
        <v>4.9000000000000004</v>
      </c>
      <c r="C18" s="1" t="s">
        <v>121</v>
      </c>
      <c r="D18" s="1">
        <v>3</v>
      </c>
      <c r="E18" s="3">
        <v>45017</v>
      </c>
      <c r="F18" s="1" t="s">
        <v>76</v>
      </c>
      <c r="G18" s="1" t="b">
        <f>FALSE()</f>
        <v>0</v>
      </c>
      <c r="H18" s="1" t="s">
        <v>122</v>
      </c>
      <c r="I18" s="1" t="s">
        <v>49</v>
      </c>
    </row>
    <row r="19" spans="1:9" x14ac:dyDescent="0.3">
      <c r="A19" s="1" t="s">
        <v>123</v>
      </c>
      <c r="B19" s="2">
        <v>3.6</v>
      </c>
      <c r="C19" s="1" t="s">
        <v>124</v>
      </c>
      <c r="D19" s="1">
        <v>2</v>
      </c>
      <c r="E19" s="3">
        <v>45638</v>
      </c>
      <c r="F19" s="1" t="s">
        <v>72</v>
      </c>
      <c r="G19" s="1" t="b">
        <f>FALSE()</f>
        <v>0</v>
      </c>
      <c r="H19" s="1" t="s">
        <v>125</v>
      </c>
      <c r="I19" s="1" t="s">
        <v>49</v>
      </c>
    </row>
  </sheetData>
  <autoFilter ref="A1:I19" xr:uid="{00000000-0009-0000-0000-000002000000}"/>
  <dataValidations count="1">
    <dataValidation type="list" sqref="F2:F19" xr:uid="{00000000-0002-0000-0200-000000000000}">
      <formula1>"MALE,FEMALE"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zoomScaleNormal="100" workbookViewId="0">
      <pane ySplit="1" topLeftCell="A2" activePane="bottomLeft" state="frozen"/>
      <selection pane="bottomLeft" activeCell="I1" sqref="A1:I1"/>
    </sheetView>
  </sheetViews>
  <sheetFormatPr defaultColWidth="8.6640625" defaultRowHeight="14.4" x14ac:dyDescent="0.3"/>
  <cols>
    <col min="1" max="1" width="13" customWidth="1"/>
    <col min="2" max="2" width="10" customWidth="1"/>
    <col min="3" max="3" width="26" customWidth="1"/>
    <col min="4" max="4" width="40" customWidth="1"/>
    <col min="5" max="5" width="22" customWidth="1"/>
    <col min="6" max="6" width="18" customWidth="1"/>
    <col min="7" max="7" width="25" customWidth="1"/>
    <col min="8" max="8" width="33" customWidth="1"/>
    <col min="9" max="9" width="48" customWidth="1"/>
  </cols>
  <sheetData>
    <row r="1" spans="1:9" ht="31.5" customHeight="1" x14ac:dyDescent="0.3">
      <c r="A1" s="6" t="s">
        <v>126</v>
      </c>
      <c r="B1" s="6" t="s">
        <v>127</v>
      </c>
      <c r="C1" s="6" t="s">
        <v>128</v>
      </c>
      <c r="D1" s="6" t="s">
        <v>129</v>
      </c>
      <c r="E1" s="6" t="s">
        <v>130</v>
      </c>
      <c r="F1" s="6" t="s">
        <v>131</v>
      </c>
      <c r="G1" s="6" t="s">
        <v>132</v>
      </c>
      <c r="H1" s="6" t="s">
        <v>133</v>
      </c>
      <c r="I1" s="6" t="s">
        <v>68</v>
      </c>
    </row>
    <row r="2" spans="1:9" x14ac:dyDescent="0.3">
      <c r="A2" s="1" t="s">
        <v>134</v>
      </c>
      <c r="B2" s="4">
        <v>12.5</v>
      </c>
      <c r="C2" s="1" t="s">
        <v>135</v>
      </c>
      <c r="D2" s="1">
        <v>8</v>
      </c>
      <c r="E2" s="3">
        <v>42156</v>
      </c>
      <c r="F2" s="1" t="s">
        <v>136</v>
      </c>
      <c r="G2" s="1" t="b">
        <f>TRUE()</f>
        <v>1</v>
      </c>
      <c r="H2" s="1" t="b">
        <f>FALSE()</f>
        <v>0</v>
      </c>
      <c r="I2" s="1" t="s">
        <v>137</v>
      </c>
    </row>
    <row r="3" spans="1:9" x14ac:dyDescent="0.3">
      <c r="A3" s="1" t="s">
        <v>138</v>
      </c>
      <c r="B3" s="4">
        <v>24.99</v>
      </c>
      <c r="C3" s="1" t="s">
        <v>139</v>
      </c>
      <c r="D3" s="1">
        <v>8</v>
      </c>
      <c r="E3" s="3">
        <v>40252</v>
      </c>
      <c r="F3" s="1" t="s">
        <v>140</v>
      </c>
      <c r="G3" s="1" t="b">
        <f>FALSE()</f>
        <v>0</v>
      </c>
      <c r="H3" s="1" t="b">
        <f>FALSE()</f>
        <v>0</v>
      </c>
      <c r="I3" s="1" t="s">
        <v>141</v>
      </c>
    </row>
    <row r="4" spans="1:9" x14ac:dyDescent="0.3">
      <c r="A4" s="1" t="s">
        <v>142</v>
      </c>
      <c r="B4" s="4">
        <v>18.75</v>
      </c>
      <c r="C4" s="1" t="s">
        <v>143</v>
      </c>
      <c r="D4" s="1">
        <v>24</v>
      </c>
      <c r="E4" s="3">
        <v>43353</v>
      </c>
      <c r="F4" s="1" t="s">
        <v>140</v>
      </c>
      <c r="G4" s="1" t="b">
        <f>TRUE()</f>
        <v>1</v>
      </c>
      <c r="H4" s="1" t="b">
        <f>FALSE()</f>
        <v>0</v>
      </c>
      <c r="I4" s="1" t="s">
        <v>144</v>
      </c>
    </row>
    <row r="5" spans="1:9" x14ac:dyDescent="0.3">
      <c r="A5" s="1" t="s">
        <v>145</v>
      </c>
      <c r="B5" s="4">
        <v>32</v>
      </c>
      <c r="C5" s="1" t="s">
        <v>146</v>
      </c>
      <c r="D5" s="1">
        <v>6</v>
      </c>
      <c r="E5" s="3">
        <v>40928</v>
      </c>
      <c r="F5" s="1" t="s">
        <v>140</v>
      </c>
      <c r="G5" s="1" t="b">
        <f>TRUE()</f>
        <v>1</v>
      </c>
      <c r="H5" s="1" t="b">
        <f>FALSE()</f>
        <v>0</v>
      </c>
      <c r="I5" s="1" t="s">
        <v>147</v>
      </c>
    </row>
    <row r="6" spans="1:9" x14ac:dyDescent="0.3">
      <c r="A6" s="1" t="s">
        <v>148</v>
      </c>
      <c r="B6" s="4">
        <v>14.9</v>
      </c>
      <c r="C6" s="1" t="s">
        <v>149</v>
      </c>
      <c r="D6" s="1">
        <v>6</v>
      </c>
      <c r="E6" s="3">
        <v>41402</v>
      </c>
      <c r="F6" s="1" t="s">
        <v>136</v>
      </c>
      <c r="G6" s="1" t="b">
        <f>FALSE()</f>
        <v>0</v>
      </c>
      <c r="H6" s="1" t="b">
        <f>FALSE()</f>
        <v>0</v>
      </c>
      <c r="I6" s="1" t="s">
        <v>150</v>
      </c>
    </row>
    <row r="7" spans="1:9" x14ac:dyDescent="0.3">
      <c r="A7" s="1" t="s">
        <v>151</v>
      </c>
      <c r="B7" s="4">
        <v>11.2</v>
      </c>
      <c r="C7" s="1" t="s">
        <v>152</v>
      </c>
      <c r="D7" s="1">
        <v>4</v>
      </c>
      <c r="E7" s="3">
        <v>40087</v>
      </c>
      <c r="F7" s="1" t="s">
        <v>153</v>
      </c>
      <c r="G7" s="1" t="b">
        <f>TRUE()</f>
        <v>1</v>
      </c>
      <c r="H7" s="1" t="b">
        <f>FALSE()</f>
        <v>0</v>
      </c>
      <c r="I7" s="1" t="s">
        <v>154</v>
      </c>
    </row>
    <row r="8" spans="1:9" x14ac:dyDescent="0.3">
      <c r="A8" s="1" t="s">
        <v>155</v>
      </c>
      <c r="B8" s="4">
        <v>15.4</v>
      </c>
      <c r="C8" s="1" t="s">
        <v>156</v>
      </c>
      <c r="D8" s="1">
        <v>12</v>
      </c>
      <c r="E8" s="3">
        <v>42780</v>
      </c>
      <c r="F8" s="1" t="s">
        <v>153</v>
      </c>
      <c r="G8" s="1" t="b">
        <f>FALSE()</f>
        <v>0</v>
      </c>
      <c r="H8" s="1" t="b">
        <f>FALSE()</f>
        <v>0</v>
      </c>
      <c r="I8" s="1" t="s">
        <v>157</v>
      </c>
    </row>
    <row r="9" spans="1:9" x14ac:dyDescent="0.3">
      <c r="A9" s="1" t="s">
        <v>158</v>
      </c>
      <c r="B9" s="4">
        <v>9.99</v>
      </c>
      <c r="C9" s="1" t="s">
        <v>159</v>
      </c>
      <c r="D9" s="1">
        <v>12</v>
      </c>
      <c r="E9" s="3">
        <v>43560</v>
      </c>
      <c r="F9" s="1" t="s">
        <v>160</v>
      </c>
      <c r="G9" s="1" t="b">
        <f>FALSE()</f>
        <v>0</v>
      </c>
      <c r="H9" s="1" t="b">
        <f>TRUE()</f>
        <v>1</v>
      </c>
      <c r="I9" s="1" t="s">
        <v>161</v>
      </c>
    </row>
    <row r="10" spans="1:9" x14ac:dyDescent="0.3">
      <c r="A10" s="1" t="s">
        <v>162</v>
      </c>
      <c r="B10" s="4">
        <v>6.49</v>
      </c>
      <c r="C10" s="1" t="s">
        <v>163</v>
      </c>
      <c r="D10" s="1">
        <v>16</v>
      </c>
      <c r="E10" s="3">
        <v>44621</v>
      </c>
      <c r="F10" s="1" t="s">
        <v>160</v>
      </c>
      <c r="G10" s="1" t="b">
        <f>FALSE()</f>
        <v>0</v>
      </c>
      <c r="H10" s="1" t="b">
        <f>TRUE()</f>
        <v>1</v>
      </c>
      <c r="I10" s="1" t="s">
        <v>164</v>
      </c>
    </row>
    <row r="11" spans="1:9" x14ac:dyDescent="0.3">
      <c r="A11" s="1" t="s">
        <v>165</v>
      </c>
      <c r="B11" s="4">
        <v>8.75</v>
      </c>
      <c r="C11" s="1" t="s">
        <v>166</v>
      </c>
      <c r="D11" s="1">
        <v>26</v>
      </c>
      <c r="E11" s="3">
        <v>44511</v>
      </c>
      <c r="F11" s="1" t="s">
        <v>160</v>
      </c>
      <c r="G11" s="1" t="b">
        <f>FALSE()</f>
        <v>0</v>
      </c>
      <c r="H11" s="1" t="b">
        <f>FALSE()</f>
        <v>0</v>
      </c>
      <c r="I11" s="1" t="s">
        <v>167</v>
      </c>
    </row>
    <row r="12" spans="1:9" x14ac:dyDescent="0.3">
      <c r="A12" s="1" t="s">
        <v>168</v>
      </c>
      <c r="B12" s="4">
        <v>5.99</v>
      </c>
      <c r="C12" s="1" t="s">
        <v>169</v>
      </c>
      <c r="D12" s="1">
        <v>8</v>
      </c>
      <c r="E12" s="3">
        <v>44936</v>
      </c>
      <c r="F12" s="1" t="s">
        <v>160</v>
      </c>
      <c r="G12" s="1" t="b">
        <f>FALSE()</f>
        <v>0</v>
      </c>
      <c r="H12" s="1" t="b">
        <f>TRUE()</f>
        <v>1</v>
      </c>
      <c r="I12" s="1" t="s">
        <v>170</v>
      </c>
    </row>
    <row r="13" spans="1:9" x14ac:dyDescent="0.3">
      <c r="A13" s="1" t="s">
        <v>171</v>
      </c>
      <c r="B13" s="4">
        <v>13.6</v>
      </c>
      <c r="C13" s="1" t="s">
        <v>172</v>
      </c>
      <c r="D13" s="1">
        <v>8</v>
      </c>
      <c r="E13" s="3">
        <v>42570</v>
      </c>
      <c r="F13" s="1" t="s">
        <v>140</v>
      </c>
      <c r="G13" s="1" t="b">
        <f>FALSE()</f>
        <v>0</v>
      </c>
      <c r="H13" s="1" t="b">
        <f>FALSE()</f>
        <v>0</v>
      </c>
      <c r="I13" s="1" t="s">
        <v>173</v>
      </c>
    </row>
  </sheetData>
  <autoFilter ref="A1:I13" xr:uid="{00000000-0009-0000-0000-000003000000}"/>
  <dataValidations count="1">
    <dataValidation type="list" sqref="F2:F13" xr:uid="{00000000-0002-0000-0300-000000000000}">
      <formula1>"PILLS,DROPS,OINTMENT,TREAT"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zoomScaleNormal="100" workbookViewId="0">
      <pane ySplit="1" topLeftCell="A2" activePane="bottomLeft" state="frozen"/>
      <selection pane="bottomLeft" activeCell="F11" sqref="F11"/>
    </sheetView>
  </sheetViews>
  <sheetFormatPr defaultColWidth="8.6640625" defaultRowHeight="14.4" x14ac:dyDescent="0.3"/>
  <cols>
    <col min="1" max="1" width="10" customWidth="1"/>
    <col min="2" max="2" width="13" customWidth="1"/>
  </cols>
  <sheetData>
    <row r="1" spans="1:2" ht="31.5" customHeight="1" x14ac:dyDescent="0.3">
      <c r="A1" s="6" t="s">
        <v>61</v>
      </c>
      <c r="B1" s="6" t="s">
        <v>126</v>
      </c>
    </row>
    <row r="2" spans="1:2" x14ac:dyDescent="0.3">
      <c r="A2" s="1" t="s">
        <v>70</v>
      </c>
      <c r="B2" s="1" t="s">
        <v>138</v>
      </c>
    </row>
    <row r="3" spans="1:2" x14ac:dyDescent="0.3">
      <c r="A3" s="1" t="s">
        <v>70</v>
      </c>
      <c r="B3" s="1" t="s">
        <v>148</v>
      </c>
    </row>
    <row r="4" spans="1:2" x14ac:dyDescent="0.3">
      <c r="A4" s="1" t="s">
        <v>74</v>
      </c>
      <c r="B4" s="1" t="s">
        <v>134</v>
      </c>
    </row>
    <row r="5" spans="1:2" x14ac:dyDescent="0.3">
      <c r="A5" s="1" t="s">
        <v>74</v>
      </c>
      <c r="B5" s="1" t="s">
        <v>142</v>
      </c>
    </row>
    <row r="6" spans="1:2" x14ac:dyDescent="0.3">
      <c r="A6" s="1" t="s">
        <v>78</v>
      </c>
      <c r="B6" s="1" t="s">
        <v>158</v>
      </c>
    </row>
    <row r="7" spans="1:2" x14ac:dyDescent="0.3">
      <c r="A7" s="1" t="s">
        <v>81</v>
      </c>
      <c r="B7" s="1" t="s">
        <v>145</v>
      </c>
    </row>
    <row r="8" spans="1:2" x14ac:dyDescent="0.3">
      <c r="A8" s="1" t="s">
        <v>81</v>
      </c>
      <c r="B8" s="1" t="s">
        <v>165</v>
      </c>
    </row>
    <row r="9" spans="1:2" x14ac:dyDescent="0.3">
      <c r="A9" s="1" t="s">
        <v>84</v>
      </c>
      <c r="B9" s="1" t="s">
        <v>151</v>
      </c>
    </row>
    <row r="10" spans="1:2" x14ac:dyDescent="0.3">
      <c r="A10" s="1" t="s">
        <v>87</v>
      </c>
      <c r="B10" s="1" t="s">
        <v>162</v>
      </c>
    </row>
    <row r="11" spans="1:2" x14ac:dyDescent="0.3">
      <c r="A11" s="1" t="s">
        <v>90</v>
      </c>
      <c r="B11" s="1" t="s">
        <v>142</v>
      </c>
    </row>
    <row r="12" spans="1:2" x14ac:dyDescent="0.3">
      <c r="A12" s="1" t="s">
        <v>90</v>
      </c>
      <c r="B12" s="1" t="s">
        <v>165</v>
      </c>
    </row>
    <row r="13" spans="1:2" x14ac:dyDescent="0.3">
      <c r="A13" s="1" t="s">
        <v>93</v>
      </c>
      <c r="B13" s="1" t="s">
        <v>138</v>
      </c>
    </row>
    <row r="14" spans="1:2" x14ac:dyDescent="0.3">
      <c r="A14" s="1" t="s">
        <v>96</v>
      </c>
      <c r="B14" s="1" t="s">
        <v>148</v>
      </c>
    </row>
    <row r="15" spans="1:2" x14ac:dyDescent="0.3">
      <c r="A15" s="1" t="s">
        <v>96</v>
      </c>
      <c r="B15" s="1" t="s">
        <v>151</v>
      </c>
    </row>
    <row r="16" spans="1:2" x14ac:dyDescent="0.3">
      <c r="A16" s="1" t="s">
        <v>99</v>
      </c>
      <c r="B16" s="1" t="s">
        <v>142</v>
      </c>
    </row>
    <row r="17" spans="1:2" x14ac:dyDescent="0.3">
      <c r="A17" s="1" t="s">
        <v>99</v>
      </c>
      <c r="B17" s="1" t="s">
        <v>158</v>
      </c>
    </row>
    <row r="18" spans="1:2" x14ac:dyDescent="0.3">
      <c r="A18" s="1" t="s">
        <v>99</v>
      </c>
      <c r="B18" s="1" t="s">
        <v>155</v>
      </c>
    </row>
    <row r="19" spans="1:2" x14ac:dyDescent="0.3">
      <c r="A19" s="1" t="s">
        <v>102</v>
      </c>
      <c r="B19" s="1" t="s">
        <v>145</v>
      </c>
    </row>
    <row r="20" spans="1:2" x14ac:dyDescent="0.3">
      <c r="A20" s="1" t="s">
        <v>105</v>
      </c>
      <c r="B20" s="1" t="s">
        <v>134</v>
      </c>
    </row>
    <row r="21" spans="1:2" x14ac:dyDescent="0.3">
      <c r="A21" s="1" t="s">
        <v>105</v>
      </c>
      <c r="B21" s="1" t="s">
        <v>155</v>
      </c>
    </row>
    <row r="22" spans="1:2" x14ac:dyDescent="0.3">
      <c r="A22" s="1" t="s">
        <v>111</v>
      </c>
      <c r="B22" s="1" t="s">
        <v>134</v>
      </c>
    </row>
    <row r="23" spans="1:2" x14ac:dyDescent="0.3">
      <c r="A23" s="1" t="s">
        <v>111</v>
      </c>
      <c r="B23" s="1" t="s">
        <v>151</v>
      </c>
    </row>
    <row r="24" spans="1:2" x14ac:dyDescent="0.3">
      <c r="A24" s="1" t="s">
        <v>117</v>
      </c>
      <c r="B24" s="1" t="s">
        <v>142</v>
      </c>
    </row>
    <row r="25" spans="1:2" x14ac:dyDescent="0.3">
      <c r="A25" s="1" t="s">
        <v>117</v>
      </c>
      <c r="B25" s="1" t="s">
        <v>165</v>
      </c>
    </row>
    <row r="26" spans="1:2" x14ac:dyDescent="0.3">
      <c r="A26" s="1" t="s">
        <v>117</v>
      </c>
      <c r="B26" s="1" t="s">
        <v>158</v>
      </c>
    </row>
    <row r="27" spans="1:2" x14ac:dyDescent="0.3">
      <c r="A27" s="1" t="s">
        <v>117</v>
      </c>
      <c r="B27" s="1" t="s">
        <v>138</v>
      </c>
    </row>
    <row r="28" spans="1:2" x14ac:dyDescent="0.3">
      <c r="A28" s="1" t="s">
        <v>120</v>
      </c>
      <c r="B28" s="1" t="s">
        <v>168</v>
      </c>
    </row>
    <row r="29" spans="1:2" x14ac:dyDescent="0.3">
      <c r="A29" s="1" t="s">
        <v>123</v>
      </c>
      <c r="B29" s="1" t="s">
        <v>148</v>
      </c>
    </row>
  </sheetData>
  <autoFilter ref="A1:B2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cat_owner</vt:lpstr>
      <vt:lpstr>cats</vt:lpstr>
      <vt:lpstr>medications_and_treats</vt:lpstr>
      <vt:lpstr>cat_medication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Sodel Yurii</cp:lastModifiedBy>
  <cp:revision>0</cp:revision>
  <dcterms:created xsi:type="dcterms:W3CDTF">2026-09-24T14:51:11Z</dcterms:created>
  <dcterms:modified xsi:type="dcterms:W3CDTF">2026-09-24T14:56:56Z</dcterms:modified>
  <dc:language>en-US</dc:language>
</cp:coreProperties>
</file>